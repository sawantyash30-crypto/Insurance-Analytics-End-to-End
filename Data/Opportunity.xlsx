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80FD1341-AA48-453C-A192-4C3AC1B16A9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2" r:id="rId1"/>
    <sheet name="gcrm_opportunity_202001231041" sheetId="1" r:id="rId2"/>
    <sheet name="Top Open Opportunities" sheetId="3" r:id="rId3"/>
  </sheets>
  <definedNames>
    <definedName name="_xlnm._FilterDatabase" localSheetId="1" hidden="1">gcrm_opportunity_202001231041!$A$1:$M$50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 a="1"/>
  <c r="F6" i="2" s="1"/>
  <c r="F7" i="2" a="1"/>
  <c r="F7" i="2" s="1"/>
  <c r="F8" i="2" a="1"/>
  <c r="F8" i="2" s="1"/>
  <c r="F9" i="2" a="1"/>
  <c r="F9" i="2" s="1"/>
  <c r="F5" i="2" a="1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<sst xmlns="http://schemas.openxmlformats.org/spreadsheetml/2006/main" count="571" uniqueCount="155">
  <si>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</si>
  <si>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</si>
  <si>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</si>
  <si>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</si>
  <si>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</si>
  <si>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</si>
  <si>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</si>
  <si>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</si>
  <si>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</si>
  <si>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</si>
  <si>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</si>
  <si>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Qualify Opportunity</t>
  </si>
  <si>
    <t>Employee Benefits (EB)</t>
  </si>
  <si>
    <t>Employee Benefits</t>
  </si>
  <si>
    <t>Mediclaim</t>
  </si>
  <si>
    <t>Group Medical</t>
  </si>
  <si>
    <t>Propose Solution</t>
  </si>
  <si>
    <t>Property / BI</t>
  </si>
  <si>
    <t>Fire</t>
  </si>
  <si>
    <t>Constructions &amp;amp; Infrastructure</t>
  </si>
  <si>
    <t>Liability</t>
  </si>
  <si>
    <t>Financial Lines</t>
  </si>
  <si>
    <t>Commercial Crime Insurance</t>
  </si>
  <si>
    <t>Commercial General Liability</t>
  </si>
  <si>
    <t>Marine</t>
  </si>
  <si>
    <t>Marine Cargo</t>
  </si>
  <si>
    <t>Miscellaneous</t>
  </si>
  <si>
    <t>Negotiate</t>
  </si>
  <si>
    <t>Emerging Corporates Group (ECG)</t>
  </si>
  <si>
    <t>OPP1900001042</t>
  </si>
  <si>
    <t>Ahmedabad</t>
  </si>
  <si>
    <t>OPP1900001047</t>
  </si>
  <si>
    <t>Group Personal Accident</t>
  </si>
  <si>
    <t>OPP1900001048</t>
  </si>
  <si>
    <t>Marine Hull</t>
  </si>
  <si>
    <t>Charterers' Liability Policy</t>
  </si>
  <si>
    <t>OPP1900001050</t>
  </si>
  <si>
    <t>OPP1900001051</t>
  </si>
  <si>
    <t>Trade Credit &amp;amp; Political Risk</t>
  </si>
  <si>
    <t>Trade Credit Insurance</t>
  </si>
  <si>
    <t>OPP1900001052</t>
  </si>
  <si>
    <t>OPP1900001053</t>
  </si>
  <si>
    <t>OPP1900001054</t>
  </si>
  <si>
    <t>Sandesh - Marine</t>
  </si>
  <si>
    <t>OPP1900001055</t>
  </si>
  <si>
    <t>OPP1900001056</t>
  </si>
  <si>
    <t>OPP1900001057</t>
  </si>
  <si>
    <t>OPP1900001058</t>
  </si>
  <si>
    <t>OPP1900001072</t>
  </si>
  <si>
    <t>Engineering</t>
  </si>
  <si>
    <t>Marine Combo policy ( EXIM +Inland)</t>
  </si>
  <si>
    <t>Cyber Liability Insurance</t>
  </si>
  <si>
    <t>OPP1900001138</t>
  </si>
  <si>
    <t>Industrial All Risks</t>
  </si>
  <si>
    <t>OPP1900001222</t>
  </si>
  <si>
    <t>Contractors All Risk</t>
  </si>
  <si>
    <t>Terrorism</t>
  </si>
  <si>
    <t>Political Risks</t>
  </si>
  <si>
    <t>OPP1900001364</t>
  </si>
  <si>
    <t>OPP1900001365</t>
  </si>
  <si>
    <t>OPP1900001366</t>
  </si>
  <si>
    <t>PDBI</t>
  </si>
  <si>
    <t>OPP1900001390</t>
  </si>
  <si>
    <t>OPP1900001391</t>
  </si>
  <si>
    <t>OPP1900001392</t>
  </si>
  <si>
    <t>OPP1900001393</t>
  </si>
  <si>
    <t>OPP1900001394</t>
  </si>
  <si>
    <t>Crises Mgmt / Terr / Political Risks / K&amp;amp;R</t>
  </si>
  <si>
    <t>OPP1900001655</t>
  </si>
  <si>
    <t>OPP1900001656</t>
  </si>
  <si>
    <t>OPP1900001803</t>
  </si>
  <si>
    <t>OPP1900001843</t>
  </si>
  <si>
    <t>Director &amp;amp; Officers / Management  Liability</t>
  </si>
  <si>
    <t>ITNL - IAR (Operational Roads)</t>
  </si>
  <si>
    <t>OPP1900001906</t>
  </si>
  <si>
    <t>Maine Open</t>
  </si>
  <si>
    <t>OPP1900001923</t>
  </si>
  <si>
    <t>Fire &amp;amp; Special Perils</t>
  </si>
  <si>
    <t>OPP1900001937</t>
  </si>
  <si>
    <t>OPP1900001938</t>
  </si>
  <si>
    <t>Construction, Power &amp; Infrastructure</t>
  </si>
  <si>
    <t>Sandesh - PDBI</t>
  </si>
  <si>
    <t>OPP1900001939</t>
  </si>
  <si>
    <t>OPP1900001940</t>
  </si>
  <si>
    <t>OPP1900001941</t>
  </si>
  <si>
    <t>OPP1900001942</t>
  </si>
  <si>
    <t>OPP1900001943</t>
  </si>
  <si>
    <t>OPP1900001944</t>
  </si>
  <si>
    <t>OPP1900001945</t>
  </si>
  <si>
    <t>OPP1900001946</t>
  </si>
  <si>
    <t>SABOTAGE &amp;amp; TERRORISM &amp;amp; Political Violence</t>
  </si>
  <si>
    <t>OPP1900001947</t>
  </si>
  <si>
    <t>OPP1900001950</t>
  </si>
  <si>
    <t>OPP1900001975</t>
  </si>
  <si>
    <t>GRTC-CAR</t>
  </si>
  <si>
    <t>OPP1900001976</t>
  </si>
  <si>
    <t>OPP1900002004</t>
  </si>
  <si>
    <t>OPP1900002039</t>
  </si>
  <si>
    <t>OPP1900002070</t>
  </si>
  <si>
    <t>OPP1900002092</t>
  </si>
  <si>
    <t>SFSP</t>
  </si>
  <si>
    <t>OPP1900002098</t>
  </si>
  <si>
    <t>OPP1900002104</t>
  </si>
  <si>
    <t>ag - Property Insurance</t>
  </si>
  <si>
    <t>AL GPA</t>
  </si>
  <si>
    <t>BE-Mega policy</t>
  </si>
  <si>
    <t>BVGMC</t>
  </si>
  <si>
    <t>BV GPA</t>
  </si>
  <si>
    <t>BD PDBI</t>
  </si>
  <si>
    <t>BL - Marine STOP</t>
  </si>
  <si>
    <t>BC - PDBI</t>
  </si>
  <si>
    <t>CP-PDBI</t>
  </si>
  <si>
    <t>CVP GMC</t>
  </si>
  <si>
    <t>CI-CAR/EAR Policy</t>
  </si>
  <si>
    <t>DB -Mega Policy</t>
  </si>
  <si>
    <t>DB -Terrorism Policy</t>
  </si>
  <si>
    <t>DB- Cyber Liability</t>
  </si>
  <si>
    <t>DS- Employees GMC</t>
  </si>
  <si>
    <t>EI- GMC</t>
  </si>
  <si>
    <t>EL-Group Mediclaim</t>
  </si>
  <si>
    <t>FM-Group Mediclaim</t>
  </si>
  <si>
    <t>G R -GMC</t>
  </si>
  <si>
    <t>G R -CAR</t>
  </si>
  <si>
    <t>GL-CGL</t>
  </si>
  <si>
    <t>GL-Crime</t>
  </si>
  <si>
    <t>II-Marine</t>
  </si>
  <si>
    <t>II -  GMC</t>
  </si>
  <si>
    <t>II - GPA</t>
  </si>
  <si>
    <t>KG-CAR</t>
  </si>
  <si>
    <t>KB GMC</t>
  </si>
  <si>
    <t>OP-GMC</t>
  </si>
  <si>
    <t>PI(Operational Road)</t>
  </si>
  <si>
    <t>PIL-Credit Insurance</t>
  </si>
  <si>
    <t>PIL-CGL</t>
  </si>
  <si>
    <t>PIL -Marine</t>
  </si>
  <si>
    <t>SGL- GMC</t>
  </si>
  <si>
    <t>Infra-CAR</t>
  </si>
  <si>
    <t>SI-CAR</t>
  </si>
  <si>
    <t>VS.-Marine</t>
  </si>
  <si>
    <t>VS-PDBI</t>
  </si>
  <si>
    <t>VS.-D &amp; O</t>
  </si>
  <si>
    <t>Sin GMC</t>
  </si>
  <si>
    <t>Stem GMC</t>
  </si>
  <si>
    <t>Account Executive</t>
  </si>
  <si>
    <t>Shivani Sharma</t>
  </si>
  <si>
    <t>Mark</t>
  </si>
  <si>
    <t>Animesh Rawat</t>
  </si>
  <si>
    <t>Account Exe Id</t>
  </si>
  <si>
    <t>Vinay</t>
  </si>
  <si>
    <t>Ketan Jain</t>
  </si>
  <si>
    <t>Row Labels</t>
  </si>
  <si>
    <t>Grand Total</t>
  </si>
  <si>
    <t>Column Labels</t>
  </si>
  <si>
    <t>Count of opportunity_id</t>
  </si>
  <si>
    <t>Conversion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</si>
</sst>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825382986113" createdVersion="8" refreshedVersion="8" minRefreshableVersion="3" recordCount="49" xr:uid="{26ABB046-0218-44D8-AC66-F81BA924B72E}">
  <cacheSource type="worksheet">
    <worksheetSource ref="A1:M50" sheet="gcrm_opportunity_202001231041"/>
  </cacheSource>
  <cacheFields count="13">
    <cacheField name="opportunity_name" numFmtId="0">
      <sharedItems/>
    </cacheField>
    <cacheField name="opportunity_id" numFmtId="0">
      <sharedItems/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5">
        <s v="Animesh Rawat"/>
        <s v="Vinay"/>
        <s v="Shivani Sharma"/>
        <s v="Mark"/>
        <s v="Ketan Jain"/>
      </sharedItems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Qualify Opportunity"/>
        <s v="Negotiate"/>
        <s v="Propose Solution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/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EL-Group Mediclaim"/>
    <s v="OPP1900001042"/>
    <n v="3"/>
    <x v="0"/>
    <n v="8000000"/>
    <n v="400000"/>
    <d v="2019-11-13T00:00:00"/>
    <x v="0"/>
    <s v="Ahmedabad"/>
    <s v="Employee Benefits (EB)"/>
    <s v="Employee Benefits"/>
    <s v="Mediclaim"/>
    <s v="Group Medical"/>
  </r>
  <r>
    <s v="AL GPA"/>
    <s v="OPP1900001047"/>
    <n v="1"/>
    <x v="1"/>
    <n v="200000"/>
    <n v="30000"/>
    <d v="2020-03-31T00:00:00"/>
    <x v="0"/>
    <s v="Ahmedabad"/>
    <s v="Employee Benefits (EB)"/>
    <s v="Employee Benefits"/>
    <s v="Mediclaim"/>
    <s v="Group Personal Accident"/>
  </r>
  <r>
    <s v="BL - Marine STOP"/>
    <s v="OPP1900001048"/>
    <n v="1"/>
    <x v="1"/>
    <n v="0"/>
    <n v="100000"/>
    <d v="2020-06-30T00:00:00"/>
    <x v="0"/>
    <s v="Ahmedabad"/>
    <s v="Marine"/>
    <s v="Marine"/>
    <s v="Marine Hull"/>
    <s v="Charterers' Liability Policy"/>
  </r>
  <r>
    <s v="II-Marine"/>
    <s v="OPP1900001050"/>
    <n v="1"/>
    <x v="1"/>
    <n v="0"/>
    <n v="100000"/>
    <d v="2020-03-31T00:00:00"/>
    <x v="0"/>
    <s v="Ahmedabad"/>
    <s v="Marine"/>
    <s v="Marine"/>
    <s v="Marine Hull"/>
    <s v="Charterers' Liability Policy"/>
  </r>
  <r>
    <s v="PIL-Credit Insurance"/>
    <s v="OPP1900001051"/>
    <n v="1"/>
    <x v="1"/>
    <n v="1200000"/>
    <n v="100000"/>
    <d v="2020-03-31T00:00:00"/>
    <x v="0"/>
    <s v="Ahmedabad"/>
    <s v="Trade Credit &amp;amp; Political Risk"/>
    <s v="Miscellaneous"/>
    <s v="Miscellaneous"/>
    <s v="Trade Credit Insurance"/>
  </r>
  <r>
    <s v="PIL-CGL"/>
    <s v="OPP1900001052"/>
    <n v="1"/>
    <x v="1"/>
    <n v="0"/>
    <n v="100000"/>
    <d v="2020-05-31T00:00:00"/>
    <x v="0"/>
    <s v="Ahmedabad"/>
    <s v="Liability"/>
    <s v="Liability"/>
    <s v="Financial Lines"/>
    <s v="Commercial General Liability"/>
  </r>
  <r>
    <s v="PIL -Marine"/>
    <s v="OPP1900001053"/>
    <n v="1"/>
    <x v="1"/>
    <n v="0"/>
    <n v="100000"/>
    <d v="2020-05-31T00:00:00"/>
    <x v="0"/>
    <s v="Ahmedabad"/>
    <s v="Marine"/>
    <s v="Marine"/>
    <s v="Marine Hull"/>
    <s v="Charterers' Liability Policy"/>
  </r>
  <r>
    <s v="SGL- GMC"/>
    <s v="OPP1900001054"/>
    <n v="1"/>
    <x v="1"/>
    <n v="0"/>
    <n v="125000"/>
    <d v="2020-06-30T00:00:00"/>
    <x v="0"/>
    <s v="Ahmedabad"/>
    <s v="Employee Benefits (EB)"/>
    <s v="Employee Benefits"/>
    <s v="Mediclaim"/>
    <s v="Group Medical"/>
  </r>
  <r>
    <s v="Sandesh - Marine"/>
    <s v="OPP1900001055"/>
    <n v="1"/>
    <x v="1"/>
    <n v="0"/>
    <n v="100000"/>
    <d v="2020-03-31T00:00:00"/>
    <x v="0"/>
    <s v="Ahmedabad"/>
    <s v="Marine"/>
    <s v="Marine"/>
    <s v="Marine Hull"/>
    <s v="Charterers' Liability Policy"/>
  </r>
  <r>
    <s v="VS.-Marine"/>
    <s v="OPP1900001056"/>
    <n v="12"/>
    <x v="2"/>
    <n v="0"/>
    <n v="200000"/>
    <d v="2020-03-31T00:00:00"/>
    <x v="0"/>
    <s v="Ahmedabad"/>
    <s v="Marine"/>
    <s v="Marine"/>
    <s v="Marine Hull"/>
    <s v="Charterers' Liability Policy"/>
  </r>
  <r>
    <s v="II -  GMC"/>
    <s v="OPP1900001057"/>
    <n v="12"/>
    <x v="2"/>
    <n v="0"/>
    <n v="75000"/>
    <d v="2020-03-31T00:00:00"/>
    <x v="0"/>
    <s v="Ahmedabad"/>
    <s v="Employee Benefits (EB)"/>
    <s v="Employee Benefits"/>
    <s v="Mediclaim"/>
    <s v="Group Medical"/>
  </r>
  <r>
    <s v="II - GPA"/>
    <s v="OPP1900001058"/>
    <n v="12"/>
    <x v="2"/>
    <n v="0"/>
    <n v="25000"/>
    <d v="2020-03-31T00:00:00"/>
    <x v="0"/>
    <s v="Ahmedabad"/>
    <s v="Employee Benefits (EB)"/>
    <s v="Employee Benefits"/>
    <s v="Mediclaim"/>
    <s v="Group Personal Accident"/>
  </r>
  <r>
    <s v="G R -GMC"/>
    <s v="OPP1900001072"/>
    <n v="12"/>
    <x v="2"/>
    <n v="2000000"/>
    <n v="150000"/>
    <d v="2020-05-31T00:00:00"/>
    <x v="0"/>
    <s v="Ahmedabad"/>
    <s v="Employee Benefits (EB)"/>
    <s v="Employee Benefits"/>
    <s v="Mediclaim"/>
    <s v="Group Medical"/>
  </r>
  <r>
    <s v="DB- Cyber Liability"/>
    <s v="OPP1900001138"/>
    <n v="12"/>
    <x v="2"/>
    <n v="500000"/>
    <n v="75000"/>
    <d v="2020-05-31T00:00:00"/>
    <x v="0"/>
    <s v="Ahmedabad"/>
    <s v="Liability"/>
    <s v="Liability"/>
    <s v="Financial Lines"/>
    <s v="Cyber Liability Insurance"/>
  </r>
  <r>
    <s v="KB GMC"/>
    <s v="OPP1900001222"/>
    <n v="3"/>
    <x v="0"/>
    <n v="2500000"/>
    <n v="125000"/>
    <d v="2019-12-01T00:00:00"/>
    <x v="0"/>
    <s v="Ahmedabad"/>
    <s v="Employee Benefits (EB)"/>
    <s v="Employee Benefits"/>
    <s v="Mediclaim"/>
    <s v="Group Medical"/>
  </r>
  <r>
    <s v="EI- GMC"/>
    <s v="OPP1900001364"/>
    <n v="10"/>
    <x v="3"/>
    <n v="1400000"/>
    <n v="100000"/>
    <d v="2019-12-09T00:00:00"/>
    <x v="0"/>
    <s v="Ahmedabad"/>
    <s v="Employee Benefits (EB)"/>
    <s v="Employee Benefits"/>
    <s v="Mediclaim"/>
    <s v="Group Medical"/>
  </r>
  <r>
    <s v="CVP GMC"/>
    <s v="OPP1900001365"/>
    <n v="10"/>
    <x v="3"/>
    <n v="4500000"/>
    <n v="350000"/>
    <d v="2019-12-11T00:00:00"/>
    <x v="0"/>
    <s v="Ahmedabad"/>
    <s v="Employee Benefits (EB)"/>
    <s v="Miscellaneous"/>
    <s v="Miscellaneous"/>
    <s v="Group Medical"/>
  </r>
  <r>
    <s v="Sin GMC"/>
    <s v="OPP1900001366"/>
    <n v="3"/>
    <x v="0"/>
    <n v="9500000"/>
    <n v="200000"/>
    <d v="2019-09-30T00:00:00"/>
    <x v="1"/>
    <s v="Ahmedabad"/>
    <s v="Employee Benefits (EB)"/>
    <s v="Employee Benefits"/>
    <s v="Mediclaim"/>
    <s v="Group Medical"/>
  </r>
  <r>
    <s v="FM-Group Mediclaim"/>
    <s v="OPP1900001390"/>
    <n v="10"/>
    <x v="3"/>
    <n v="4500000"/>
    <n v="300000"/>
    <d v="2019-10-29T00:00:00"/>
    <x v="0"/>
    <s v="Ahmedabad"/>
    <s v="Employee Benefits (EB)"/>
    <s v="Employee Benefits"/>
    <s v="Mediclaim"/>
    <s v="Group Medical"/>
  </r>
  <r>
    <s v="Stem GMC"/>
    <s v="OPP1900001391"/>
    <n v="3"/>
    <x v="0"/>
    <n v="0"/>
    <n v="100000"/>
    <d v="2019-11-15T00:00:00"/>
    <x v="0"/>
    <s v="Ahmedabad"/>
    <s v="Employee Benefits (EB)"/>
    <s v="Employee Benefits"/>
    <s v="Mediclaim"/>
    <s v="Group Medical"/>
  </r>
  <r>
    <s v="DS- Employees GMC"/>
    <s v="OPP1900001392"/>
    <n v="3"/>
    <x v="0"/>
    <n v="6000000"/>
    <n v="300000"/>
    <d v="2019-12-01T00:00:00"/>
    <x v="0"/>
    <s v="Ahmedabad"/>
    <s v="Employee Benefits (EB)"/>
    <s v="Employee Benefits"/>
    <s v="Mediclaim"/>
    <s v="Group Medical"/>
  </r>
  <r>
    <s v="BVGMC"/>
    <s v="OPP1900001393"/>
    <n v="10"/>
    <x v="3"/>
    <n v="600000"/>
    <n v="100000"/>
    <d v="2019-11-30T00:00:00"/>
    <x v="0"/>
    <s v="Ahmedabad"/>
    <s v="Emerging Corporates Group (ECG)"/>
    <s v="Employee Benefits"/>
    <s v="Mediclaim"/>
    <s v="Group Medical"/>
  </r>
  <r>
    <s v="BV GPA"/>
    <s v="OPP1900001394"/>
    <n v="10"/>
    <x v="3"/>
    <n v="210000"/>
    <n v="35000"/>
    <d v="2019-11-30T00:00:00"/>
    <x v="0"/>
    <s v="Ahmedabad"/>
    <s v="Emerging Corporates Group (ECG)"/>
    <s v="Employee Benefits"/>
    <s v="Mediclaim"/>
    <s v="Group Personal Accident"/>
  </r>
  <r>
    <s v="GL-CGL"/>
    <s v="OPP1900001655"/>
    <n v="10"/>
    <x v="3"/>
    <n v="300000"/>
    <n v="49500"/>
    <d v="2019-09-30T00:00:00"/>
    <x v="1"/>
    <s v="Ahmedabad"/>
    <s v="Liability"/>
    <s v="Liability"/>
    <s v="Financial Lines"/>
    <s v="Commercial General Liability"/>
  </r>
  <r>
    <s v="GL-Crime"/>
    <s v="OPP1900001656"/>
    <n v="10"/>
    <x v="3"/>
    <n v="300000"/>
    <n v="49500"/>
    <d v="2019-09-30T00:00:00"/>
    <x v="1"/>
    <s v="Ahmedabad"/>
    <s v="Liability"/>
    <s v="Liability"/>
    <s v="Financial Lines"/>
    <s v="Commercial Crime Insurance"/>
  </r>
  <r>
    <s v="OP-GMC"/>
    <s v="OPP1900001803"/>
    <n v="10"/>
    <x v="3"/>
    <n v="5000000"/>
    <n v="250000"/>
    <d v="2019-11-30T00:00:00"/>
    <x v="0"/>
    <s v="Ahmedabad"/>
    <s v="Employee Benefits (EB)"/>
    <s v="Employee Benefits"/>
    <s v="Mediclaim"/>
    <s v="Group Medical"/>
  </r>
  <r>
    <s v="Marine"/>
    <s v="OPP1900001843"/>
    <n v="3"/>
    <x v="0"/>
    <n v="0"/>
    <n v="100000"/>
    <d v="2019-10-31T00:00:00"/>
    <x v="1"/>
    <s v="Ahmedabad"/>
    <s v="Marine"/>
    <s v="Marine"/>
    <s v="Marine Cargo"/>
    <s v="Marine Combo policy ( EXIM +Inland)"/>
  </r>
  <r>
    <s v="ITNL - IAR (Operational Roads)"/>
    <s v="OPP1900001906"/>
    <n v="12"/>
    <x v="2"/>
    <n v="90000000"/>
    <n v="200000"/>
    <d v="2020-08-31T00:00:00"/>
    <x v="0"/>
    <s v="Ahmedabad"/>
    <s v="Property / BI"/>
    <s v="Fire"/>
    <s v="Constructions &amp;amp; Infrastructure"/>
    <s v="Industrial All Risks"/>
  </r>
  <r>
    <s v="Maine Open"/>
    <s v="OPP1900001923"/>
    <n v="3"/>
    <x v="0"/>
    <n v="0"/>
    <n v="10000"/>
    <d v="2019-09-30T00:00:00"/>
    <x v="2"/>
    <s v="Ahmedabad"/>
    <s v="Marine"/>
    <s v="Marine"/>
    <s v="Marine Cargo"/>
    <s v="Marine Cargo"/>
  </r>
  <r>
    <s v="BD PDBI"/>
    <s v="OPP1900001937"/>
    <n v="6"/>
    <x v="4"/>
    <n v="0"/>
    <n v="50000"/>
    <d v="2020-03-31T00:00:00"/>
    <x v="0"/>
    <s v="Ahmedabad"/>
    <s v="Property / BI"/>
    <s v="Fire"/>
    <s v="Constructions &amp;amp; Infrastructure"/>
    <s v="Fire &amp;amp; Special Perils"/>
  </r>
  <r>
    <s v="CI-CAR/EAR Policy"/>
    <s v="OPP1900001938"/>
    <n v="6"/>
    <x v="4"/>
    <n v="300000"/>
    <n v="30000"/>
    <d v="2020-03-31T00:00:00"/>
    <x v="0"/>
    <s v="Ahmedabad"/>
    <s v="Construction, Power &amp; Infrastructure"/>
    <s v="Engineering"/>
    <s v="Engineering"/>
    <s v="Contractors All Risk"/>
  </r>
  <r>
    <s v="Sandesh - PDBI"/>
    <s v="OPP1900001939"/>
    <n v="6"/>
    <x v="4"/>
    <n v="0"/>
    <n v="200000"/>
    <d v="2020-03-31T00:00:00"/>
    <x v="0"/>
    <s v="Ahmedabad"/>
    <s v="Property / BI"/>
    <s v="Fire"/>
    <s v="Constructions &amp;amp; Infrastructure"/>
    <s v="Fire &amp;amp; Special Perils"/>
  </r>
  <r>
    <s v="VS-PDBI"/>
    <s v="OPP1900001940"/>
    <n v="6"/>
    <x v="4"/>
    <n v="300000"/>
    <n v="50000"/>
    <d v="2020-03-31T00:00:00"/>
    <x v="0"/>
    <s v="Ahmedabad"/>
    <s v="Property / BI"/>
    <s v="Fire"/>
    <s v="Constructions &amp;amp; Infrastructure"/>
    <s v="Fire &amp;amp; Special Perils"/>
  </r>
  <r>
    <s v="ag - Property Insurance"/>
    <s v="OPP1900001941"/>
    <n v="6"/>
    <x v="4"/>
    <n v="1000000"/>
    <n v="100000"/>
    <d v="2020-07-31T00:00:00"/>
    <x v="0"/>
    <s v="Ahmedabad"/>
    <s v="Property / BI"/>
    <s v="Fire"/>
    <s v="Constructions &amp;amp; Infrastructure"/>
    <s v="Fire &amp;amp; Special Perils"/>
  </r>
  <r>
    <s v="BE-Mega policy"/>
    <s v="OPP1900001942"/>
    <n v="6"/>
    <x v="4"/>
    <n v="0"/>
    <n v="300000"/>
    <d v="2020-06-30T00:00:00"/>
    <x v="0"/>
    <s v="Ahmedabad"/>
    <s v="Property / BI"/>
    <s v="Fire"/>
    <s v="Constructions &amp;amp; Infrastructure"/>
    <s v="Fire &amp;amp; Special Perils"/>
  </r>
  <r>
    <s v="BC - PDBI"/>
    <s v="OPP1900001943"/>
    <n v="6"/>
    <x v="4"/>
    <n v="0"/>
    <n v="200000"/>
    <d v="2020-06-30T00:00:00"/>
    <x v="0"/>
    <s v="Ahmedabad"/>
    <s v="Property / BI"/>
    <s v="Fire"/>
    <s v="Constructions &amp;amp; Infrastructure"/>
    <s v="Fire &amp;amp; Special Perils"/>
  </r>
  <r>
    <s v="CP-PDBI"/>
    <s v="OPP1900001944"/>
    <n v="6"/>
    <x v="4"/>
    <n v="0"/>
    <n v="200000"/>
    <d v="2020-06-30T00:00:00"/>
    <x v="0"/>
    <s v="Ahmedabad"/>
    <s v="Property / BI"/>
    <s v="Fire"/>
    <s v="Constructions &amp;amp; Infrastructure"/>
    <s v="Fire &amp;amp; Special Perils"/>
  </r>
  <r>
    <s v="DB -Mega Policy"/>
    <s v="OPP1900001945"/>
    <n v="6"/>
    <x v="4"/>
    <n v="0"/>
    <n v="400000"/>
    <d v="2020-06-30T00:00:00"/>
    <x v="0"/>
    <s v="Ahmedabad"/>
    <s v="Property / BI"/>
    <s v="Fire"/>
    <s v="Constructions &amp;amp; Infrastructure"/>
    <s v="Fire &amp;amp; Special Perils"/>
  </r>
  <r>
    <s v="DB -Terrorism Policy"/>
    <s v="OPP1900001946"/>
    <n v="12"/>
    <x v="2"/>
    <n v="0"/>
    <n v="300000"/>
    <d v="2020-06-30T00:00:00"/>
    <x v="0"/>
    <s v="Ahmedabad"/>
    <s v="Crises Mgmt / Terr / Political Risks / K&amp;amp;R"/>
    <s v="Terrorism"/>
    <s v="Political Risks"/>
    <s v="SABOTAGE &amp;amp; TERRORISM &amp;amp; Political Violence"/>
  </r>
  <r>
    <s v="KG-CAR"/>
    <s v="OPP1900001947"/>
    <n v="12"/>
    <x v="2"/>
    <n v="500000"/>
    <n v="50000"/>
    <d v="2019-12-31T00:00:00"/>
    <x v="0"/>
    <s v="Ahmedabad"/>
    <s v="Construction, Power &amp; Infrastructure"/>
    <s v="Engineering"/>
    <s v="Engineering"/>
    <s v="Contractors All Risk"/>
  </r>
  <r>
    <s v="G R -CAR"/>
    <s v="OPP1900001950"/>
    <n v="12"/>
    <x v="2"/>
    <n v="1000000"/>
    <n v="100000"/>
    <d v="2019-09-30T00:00:00"/>
    <x v="0"/>
    <s v="Ahmedabad"/>
    <s v="Construction, Power &amp; Infrastructure"/>
    <s v="Engineering"/>
    <s v="Engineering"/>
    <s v="Contractors All Risk"/>
  </r>
  <r>
    <s v="SI-CAR"/>
    <s v="OPP1900001975"/>
    <n v="10"/>
    <x v="3"/>
    <n v="500000"/>
    <n v="62000"/>
    <d v="2019-09-30T00:00:00"/>
    <x v="0"/>
    <s v="Ahmedabad"/>
    <s v="Construction, Power &amp; Infrastructure"/>
    <s v="Engineering"/>
    <s v="Engineering"/>
    <s v="Contractors All Risk"/>
  </r>
  <r>
    <s v="GRTC-CAR"/>
    <s v="OPP1900001976"/>
    <n v="10"/>
    <x v="3"/>
    <n v="300000"/>
    <n v="37500"/>
    <d v="2019-09-30T00:00:00"/>
    <x v="0"/>
    <s v="Ahmedabad"/>
    <s v="Construction, Power &amp; Infrastructure"/>
    <s v="Engineering"/>
    <s v="Engineering"/>
    <s v="Contractors All Risk"/>
  </r>
  <r>
    <s v="PDBI"/>
    <s v="OPP1900002004"/>
    <n v="3"/>
    <x v="0"/>
    <n v="700000"/>
    <n v="100000"/>
    <d v="2019-12-31T00:00:00"/>
    <x v="0"/>
    <s v="Ahmedabad"/>
    <s v="Property / BI"/>
    <s v="Fire"/>
    <s v="Constructions &amp;amp; Infrastructure"/>
    <s v="Fire &amp;amp; Special Perils"/>
  </r>
  <r>
    <s v="Infra-CAR"/>
    <s v="OPP1900002039"/>
    <n v="10"/>
    <x v="3"/>
    <n v="800000"/>
    <n v="50000"/>
    <d v="2019-09-30T00:00:00"/>
    <x v="0"/>
    <s v="Ahmedabad"/>
    <s v="Construction, Power &amp; Infrastructure"/>
    <s v="Engineering"/>
    <s v="Engineering"/>
    <s v="Contractors All Risk"/>
  </r>
  <r>
    <s v="Fire"/>
    <s v="OPP1900002070"/>
    <n v="3"/>
    <x v="0"/>
    <n v="0"/>
    <n v="500000"/>
    <d v="2019-10-01T00:00:00"/>
    <x v="1"/>
    <s v="Ahmedabad"/>
    <s v="Property / BI"/>
    <s v="Fire"/>
    <s v="Constructions &amp;amp; Infrastructure"/>
    <s v="Fire &amp;amp; Special Perils"/>
  </r>
  <r>
    <s v="PI(Operational Road)"/>
    <s v="OPP1900002092"/>
    <n v="12"/>
    <x v="2"/>
    <n v="1000000"/>
    <n v="100000"/>
    <d v="2019-12-31T00:00:00"/>
    <x v="0"/>
    <s v="Ahmedabad"/>
    <s v="Property / BI"/>
    <s v="Fire"/>
    <s v="Constructions &amp;amp; Infrastructure"/>
    <s v="Fire &amp;amp; Special Perils"/>
  </r>
  <r>
    <s v="SFSP"/>
    <s v="OPP1900002098"/>
    <n v="3"/>
    <x v="0"/>
    <n v="0"/>
    <n v="50000"/>
    <d v="2019-09-30T00:00:00"/>
    <x v="2"/>
    <s v="Ahmedabad"/>
    <s v="Property / BI"/>
    <s v="Fire"/>
    <s v="Constructions &amp;amp; Infrastructure"/>
    <s v="Fire &amp;amp; Special Perils"/>
  </r>
  <r>
    <s v="VS.-D &amp; O"/>
    <s v="OPP1900002104"/>
    <n v="12"/>
    <x v="2"/>
    <n v="0"/>
    <n v="50000"/>
    <d v="2020-03-31T00:00:00"/>
    <x v="0"/>
    <s v="Ahmedabad"/>
    <s v="Liability"/>
    <s v="Liability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4DF79-8B9A-475D-84CB-821E6B4A9BE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3">
    <pivotField showAll="0"/>
    <pivotField dataField="1"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numFmtId="14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opportunity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B0B4-7105-473B-ADCF-F14B97154AC9}">
  <dimension ref="A3:F10"/>
  <sheetViews>
    <sheetView workbookViewId="0">
      <selection activeCell="F5" sqref="F5:F9"/>
    </sheetView>
  </sheetViews>
  <sheetFormatPr defaultRowHeight="14.5" x14ac:dyDescent="0.35"/>
  <cols>
    <col min="1" max="1" width="21.453125" bestFit="1" customWidth="1"/>
    <col min="2" max="2" width="15.26953125" bestFit="1" customWidth="1"/>
    <col min="3" max="3" width="15.1796875" bestFit="1" customWidth="1"/>
    <col min="4" max="4" width="17.7265625" bestFit="1" customWidth="1"/>
    <col min="5" max="5" width="10.7265625" bestFit="1" customWidth="1"/>
  </cols>
  <sheetData>
    <row r="3" spans="1:6" x14ac:dyDescent="0.35">
      <c r="A3" s="4" t="s">
        <v>153</v>
      </c>
      <c r="B3" s="4" t="s">
        <v>152</v>
      </c>
    </row>
    <row r="4" spans="1:6" x14ac:dyDescent="0.35">
      <c r="A4" s="4" t="s">
        <v>150</v>
      </c>
      <c r="B4" t="s">
        <v>27</v>
      </c>
      <c r="C4" t="s">
        <v>16</v>
      </c>
      <c r="D4" t="s">
        <v>11</v>
      </c>
      <c r="E4" t="s">
        <v>151</v>
      </c>
      <c r="F4" t="s">
        <v>154</v>
      </c>
    </row>
    <row r="5" spans="1:6" x14ac:dyDescent="0.35">
      <c r="A5" s="5" t="s">
        <v>146</v>
      </c>
      <c r="B5" s="6">
        <v>3</v>
      </c>
      <c r="C5" s="6">
        <v>2</v>
      </c>
      <c r="D5" s="6">
        <v>5</v>
      </c>
      <c r="E5" s="6">
        <v>10</v>
      </c>
      <c r="F5" s="7" cm="1">
        <f t="array" ref="F5">IFERROR(WonCell/GrandTotalCell,0)</f>
        <v>0</v>
      </c>
    </row>
    <row r="6" spans="1:6" x14ac:dyDescent="0.35">
      <c r="A6" s="5" t="s">
        <v>149</v>
      </c>
      <c r="B6" s="6"/>
      <c r="C6" s="6"/>
      <c r="D6" s="6">
        <v>9</v>
      </c>
      <c r="E6" s="6">
        <v>9</v>
      </c>
      <c r="F6" s="7" cm="1">
        <f t="array" ref="F6">IFERROR(WonCell/GrandTotalCell,0)</f>
        <v>0</v>
      </c>
    </row>
    <row r="7" spans="1:6" x14ac:dyDescent="0.35">
      <c r="A7" s="5" t="s">
        <v>145</v>
      </c>
      <c r="B7" s="6">
        <v>2</v>
      </c>
      <c r="C7" s="6"/>
      <c r="D7" s="6">
        <v>9</v>
      </c>
      <c r="E7" s="6">
        <v>11</v>
      </c>
      <c r="F7" s="7" cm="1">
        <f t="array" ref="F7">IFERROR(WonCell/GrandTotalCell,0)</f>
        <v>0</v>
      </c>
    </row>
    <row r="8" spans="1:6" x14ac:dyDescent="0.35">
      <c r="A8" s="5" t="s">
        <v>144</v>
      </c>
      <c r="B8" s="6"/>
      <c r="C8" s="6"/>
      <c r="D8" s="6">
        <v>11</v>
      </c>
      <c r="E8" s="6">
        <v>11</v>
      </c>
      <c r="F8" s="7" cm="1">
        <f t="array" ref="F8">IFERROR(WonCell/GrandTotalCell,0)</f>
        <v>0</v>
      </c>
    </row>
    <row r="9" spans="1:6" x14ac:dyDescent="0.35">
      <c r="A9" s="5" t="s">
        <v>148</v>
      </c>
      <c r="B9" s="6"/>
      <c r="C9" s="6"/>
      <c r="D9" s="6">
        <v>8</v>
      </c>
      <c r="E9" s="6">
        <v>8</v>
      </c>
      <c r="F9" s="7" cm="1">
        <f t="array" ref="F9">IFERROR(WonCell/GrandTotalCell,0)</f>
        <v>0</v>
      </c>
    </row>
    <row r="10" spans="1:6" x14ac:dyDescent="0.35">
      <c r="A10" s="5" t="s">
        <v>151</v>
      </c>
      <c r="B10" s="6">
        <v>5</v>
      </c>
      <c r="C10" s="6">
        <v>2</v>
      </c>
      <c r="D10" s="6">
        <v>42</v>
      </c>
      <c r="E10" s="6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0"/>
  <sheetViews>
    <sheetView topLeftCell="I1" workbookViewId="0">
      <selection sqref="A1:M11"/>
    </sheetView>
  </sheetViews>
  <sheetFormatPr defaultColWidth="8.81640625" defaultRowHeight="14.5" x14ac:dyDescent="0.35"/>
  <cols>
    <col min="1" max="1" width="28.1796875" bestFit="1" customWidth="1"/>
    <col min="2" max="2" width="16.6328125" bestFit="1" customWidth="1"/>
    <col min="3" max="3" width="16.6328125" customWidth="1"/>
    <col min="4" max="4" width="20.81640625" bestFit="1" customWidth="1"/>
    <col min="5" max="5" width="19.453125" bestFit="1" customWidth="1"/>
    <col min="6" max="6" width="18.6328125" bestFit="1" customWidth="1"/>
    <col min="7" max="7" width="14.453125" bestFit="1" customWidth="1"/>
    <col min="8" max="8" width="19" bestFit="1" customWidth="1"/>
    <col min="9" max="9" width="11.6328125" bestFit="1" customWidth="1"/>
    <col min="10" max="10" width="41.6328125" bestFit="1" customWidth="1"/>
    <col min="11" max="11" width="18" bestFit="1" customWidth="1"/>
    <col min="12" max="12" width="32.6328125" bestFit="1" customWidth="1"/>
    <col min="13" max="13" width="50.81640625" bestFit="1" customWidth="1"/>
  </cols>
  <sheetData>
    <row r="1" spans="1:13" s="2" customFormat="1" x14ac:dyDescent="0.35">
      <c r="A1" s="3" t="s">
        <v>0</v>
      </c>
      <c r="B1" s="3" t="s">
        <v>1</v>
      </c>
      <c r="C1" s="3" t="s">
        <v>147</v>
      </c>
      <c r="D1" s="3" t="s">
        <v>143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5">
      <c r="A2" t="s">
        <v>119</v>
      </c>
      <c r="B2" t="s">
        <v>29</v>
      </c>
      <c r="C2">
        <v>3</v>
      </c>
      <c r="D2" t="s">
        <v>146</v>
      </c>
      <c r="E2">
        <v>8000000</v>
      </c>
      <c r="F2">
        <v>400000</v>
      </c>
      <c r="G2" s="1">
        <v>43782</v>
      </c>
      <c r="H2" t="s">
        <v>11</v>
      </c>
      <c r="I2" t="s">
        <v>30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35">
      <c r="A3" t="s">
        <v>114</v>
      </c>
      <c r="B3" t="s">
        <v>88</v>
      </c>
      <c r="C3">
        <v>6</v>
      </c>
      <c r="D3" t="s">
        <v>149</v>
      </c>
      <c r="E3">
        <v>0</v>
      </c>
      <c r="F3">
        <v>400000</v>
      </c>
      <c r="G3" s="1">
        <v>44012</v>
      </c>
      <c r="H3" t="s">
        <v>11</v>
      </c>
      <c r="I3" t="s">
        <v>30</v>
      </c>
      <c r="J3" t="s">
        <v>17</v>
      </c>
      <c r="K3" t="s">
        <v>18</v>
      </c>
      <c r="L3" t="s">
        <v>19</v>
      </c>
      <c r="M3" t="s">
        <v>77</v>
      </c>
    </row>
    <row r="4" spans="1:13" x14ac:dyDescent="0.35">
      <c r="A4" t="s">
        <v>112</v>
      </c>
      <c r="B4" t="s">
        <v>59</v>
      </c>
      <c r="C4">
        <v>10</v>
      </c>
      <c r="D4" t="s">
        <v>145</v>
      </c>
      <c r="E4">
        <v>4500000</v>
      </c>
      <c r="F4">
        <v>350000</v>
      </c>
      <c r="G4" s="1">
        <v>43810</v>
      </c>
      <c r="H4" t="s">
        <v>11</v>
      </c>
      <c r="I4" t="s">
        <v>30</v>
      </c>
      <c r="J4" t="s">
        <v>12</v>
      </c>
      <c r="K4" t="s">
        <v>26</v>
      </c>
      <c r="L4" t="s">
        <v>26</v>
      </c>
      <c r="M4" t="s">
        <v>15</v>
      </c>
    </row>
    <row r="5" spans="1:13" x14ac:dyDescent="0.35">
      <c r="A5" t="s">
        <v>120</v>
      </c>
      <c r="B5" t="s">
        <v>62</v>
      </c>
      <c r="C5">
        <v>10</v>
      </c>
      <c r="D5" t="s">
        <v>145</v>
      </c>
      <c r="E5">
        <v>4500000</v>
      </c>
      <c r="F5">
        <v>300000</v>
      </c>
      <c r="G5" s="1">
        <v>43767</v>
      </c>
      <c r="H5" t="s">
        <v>11</v>
      </c>
      <c r="I5" t="s">
        <v>30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5">
      <c r="A6" t="s">
        <v>117</v>
      </c>
      <c r="B6" t="s">
        <v>64</v>
      </c>
      <c r="C6">
        <v>3</v>
      </c>
      <c r="D6" t="s">
        <v>146</v>
      </c>
      <c r="E6">
        <v>6000000</v>
      </c>
      <c r="F6">
        <v>300000</v>
      </c>
      <c r="G6" s="1">
        <v>43800</v>
      </c>
      <c r="H6" t="s">
        <v>11</v>
      </c>
      <c r="I6" t="s">
        <v>30</v>
      </c>
      <c r="J6" t="s">
        <v>12</v>
      </c>
      <c r="K6" t="s">
        <v>13</v>
      </c>
      <c r="L6" t="s">
        <v>14</v>
      </c>
      <c r="M6" t="s">
        <v>15</v>
      </c>
    </row>
    <row r="7" spans="1:13" x14ac:dyDescent="0.35">
      <c r="A7" t="s">
        <v>105</v>
      </c>
      <c r="B7" t="s">
        <v>85</v>
      </c>
      <c r="C7">
        <v>6</v>
      </c>
      <c r="D7" t="s">
        <v>149</v>
      </c>
      <c r="E7">
        <v>0</v>
      </c>
      <c r="F7">
        <v>300000</v>
      </c>
      <c r="G7" s="1">
        <v>44012</v>
      </c>
      <c r="H7" t="s">
        <v>11</v>
      </c>
      <c r="I7" t="s">
        <v>30</v>
      </c>
      <c r="J7" t="s">
        <v>17</v>
      </c>
      <c r="K7" t="s">
        <v>18</v>
      </c>
      <c r="L7" t="s">
        <v>19</v>
      </c>
      <c r="M7" t="s">
        <v>77</v>
      </c>
    </row>
    <row r="8" spans="1:13" x14ac:dyDescent="0.35">
      <c r="A8" t="s">
        <v>115</v>
      </c>
      <c r="B8" t="s">
        <v>89</v>
      </c>
      <c r="C8">
        <v>12</v>
      </c>
      <c r="D8" t="s">
        <v>144</v>
      </c>
      <c r="E8">
        <v>0</v>
      </c>
      <c r="F8">
        <v>300000</v>
      </c>
      <c r="G8" s="1">
        <v>44012</v>
      </c>
      <c r="H8" t="s">
        <v>11</v>
      </c>
      <c r="I8" t="s">
        <v>30</v>
      </c>
      <c r="J8" t="s">
        <v>67</v>
      </c>
      <c r="K8" t="s">
        <v>56</v>
      </c>
      <c r="L8" t="s">
        <v>57</v>
      </c>
      <c r="M8" t="s">
        <v>90</v>
      </c>
    </row>
    <row r="9" spans="1:13" x14ac:dyDescent="0.35">
      <c r="A9" t="s">
        <v>130</v>
      </c>
      <c r="B9" t="s">
        <v>70</v>
      </c>
      <c r="C9">
        <v>10</v>
      </c>
      <c r="D9" t="s">
        <v>145</v>
      </c>
      <c r="E9">
        <v>5000000</v>
      </c>
      <c r="F9">
        <v>250000</v>
      </c>
      <c r="G9" s="1">
        <v>43799</v>
      </c>
      <c r="H9" t="s">
        <v>11</v>
      </c>
      <c r="I9" t="s">
        <v>30</v>
      </c>
      <c r="J9" t="s">
        <v>12</v>
      </c>
      <c r="K9" t="s">
        <v>13</v>
      </c>
      <c r="L9" t="s">
        <v>14</v>
      </c>
      <c r="M9" t="s">
        <v>15</v>
      </c>
    </row>
    <row r="10" spans="1:13" x14ac:dyDescent="0.35">
      <c r="A10" t="s">
        <v>138</v>
      </c>
      <c r="B10" t="s">
        <v>45</v>
      </c>
      <c r="C10">
        <v>12</v>
      </c>
      <c r="D10" t="s">
        <v>144</v>
      </c>
      <c r="E10">
        <v>0</v>
      </c>
      <c r="F10">
        <v>200000</v>
      </c>
      <c r="G10" s="1">
        <v>43921</v>
      </c>
      <c r="H10" t="s">
        <v>11</v>
      </c>
      <c r="I10" t="s">
        <v>30</v>
      </c>
      <c r="J10" t="s">
        <v>24</v>
      </c>
      <c r="K10" t="s">
        <v>24</v>
      </c>
      <c r="L10" t="s">
        <v>34</v>
      </c>
      <c r="M10" t="s">
        <v>35</v>
      </c>
    </row>
    <row r="11" spans="1:13" x14ac:dyDescent="0.35">
      <c r="A11" t="s">
        <v>73</v>
      </c>
      <c r="B11" t="s">
        <v>74</v>
      </c>
      <c r="C11">
        <v>12</v>
      </c>
      <c r="D11" t="s">
        <v>144</v>
      </c>
      <c r="E11">
        <v>90000000</v>
      </c>
      <c r="F11">
        <v>200000</v>
      </c>
      <c r="G11" s="1">
        <v>44074</v>
      </c>
      <c r="H11" t="s">
        <v>11</v>
      </c>
      <c r="I11" t="s">
        <v>30</v>
      </c>
      <c r="J11" t="s">
        <v>17</v>
      </c>
      <c r="K11" t="s">
        <v>18</v>
      </c>
      <c r="L11" t="s">
        <v>19</v>
      </c>
      <c r="M11" t="s">
        <v>53</v>
      </c>
    </row>
    <row r="12" spans="1:13" x14ac:dyDescent="0.35">
      <c r="A12" t="s">
        <v>81</v>
      </c>
      <c r="B12" t="s">
        <v>82</v>
      </c>
      <c r="C12">
        <v>6</v>
      </c>
      <c r="D12" t="s">
        <v>149</v>
      </c>
      <c r="E12">
        <v>0</v>
      </c>
      <c r="F12">
        <v>200000</v>
      </c>
      <c r="G12" s="1">
        <v>43921</v>
      </c>
      <c r="H12" t="s">
        <v>11</v>
      </c>
      <c r="I12" t="s">
        <v>30</v>
      </c>
      <c r="J12" t="s">
        <v>17</v>
      </c>
      <c r="K12" t="s">
        <v>18</v>
      </c>
      <c r="L12" t="s">
        <v>19</v>
      </c>
      <c r="M12" t="s">
        <v>77</v>
      </c>
    </row>
    <row r="13" spans="1:13" x14ac:dyDescent="0.35">
      <c r="A13" t="s">
        <v>110</v>
      </c>
      <c r="B13" t="s">
        <v>86</v>
      </c>
      <c r="C13">
        <v>6</v>
      </c>
      <c r="D13" t="s">
        <v>149</v>
      </c>
      <c r="E13">
        <v>0</v>
      </c>
      <c r="F13">
        <v>200000</v>
      </c>
      <c r="G13" s="1">
        <v>44012</v>
      </c>
      <c r="H13" t="s">
        <v>11</v>
      </c>
      <c r="I13" t="s">
        <v>30</v>
      </c>
      <c r="J13" t="s">
        <v>17</v>
      </c>
      <c r="K13" t="s">
        <v>18</v>
      </c>
      <c r="L13" t="s">
        <v>19</v>
      </c>
      <c r="M13" t="s">
        <v>77</v>
      </c>
    </row>
    <row r="14" spans="1:13" x14ac:dyDescent="0.35">
      <c r="A14" t="s">
        <v>111</v>
      </c>
      <c r="B14" t="s">
        <v>87</v>
      </c>
      <c r="C14">
        <v>6</v>
      </c>
      <c r="D14" t="s">
        <v>149</v>
      </c>
      <c r="E14">
        <v>0</v>
      </c>
      <c r="F14">
        <v>200000</v>
      </c>
      <c r="G14" s="1">
        <v>44012</v>
      </c>
      <c r="H14" t="s">
        <v>11</v>
      </c>
      <c r="I14" t="s">
        <v>30</v>
      </c>
      <c r="J14" t="s">
        <v>17</v>
      </c>
      <c r="K14" t="s">
        <v>18</v>
      </c>
      <c r="L14" t="s">
        <v>19</v>
      </c>
      <c r="M14" t="s">
        <v>77</v>
      </c>
    </row>
    <row r="15" spans="1:13" x14ac:dyDescent="0.35">
      <c r="A15" t="s">
        <v>121</v>
      </c>
      <c r="B15" t="s">
        <v>48</v>
      </c>
      <c r="C15">
        <v>12</v>
      </c>
      <c r="D15" t="s">
        <v>144</v>
      </c>
      <c r="E15">
        <v>2000000</v>
      </c>
      <c r="F15">
        <v>150000</v>
      </c>
      <c r="G15" s="1">
        <v>43982</v>
      </c>
      <c r="H15" t="s">
        <v>11</v>
      </c>
      <c r="I15" t="s">
        <v>30</v>
      </c>
      <c r="J15" t="s">
        <v>12</v>
      </c>
      <c r="K15" t="s">
        <v>13</v>
      </c>
      <c r="L15" t="s">
        <v>14</v>
      </c>
      <c r="M15" t="s">
        <v>15</v>
      </c>
    </row>
    <row r="16" spans="1:13" x14ac:dyDescent="0.35">
      <c r="A16" t="s">
        <v>135</v>
      </c>
      <c r="B16" t="s">
        <v>42</v>
      </c>
      <c r="C16">
        <v>1</v>
      </c>
      <c r="D16" t="s">
        <v>148</v>
      </c>
      <c r="E16">
        <v>0</v>
      </c>
      <c r="F16">
        <v>125000</v>
      </c>
      <c r="G16" s="1">
        <v>44012</v>
      </c>
      <c r="H16" t="s">
        <v>11</v>
      </c>
      <c r="I16" t="s">
        <v>30</v>
      </c>
      <c r="J16" t="s">
        <v>12</v>
      </c>
      <c r="K16" t="s">
        <v>13</v>
      </c>
      <c r="L16" t="s">
        <v>14</v>
      </c>
      <c r="M16" t="s">
        <v>15</v>
      </c>
    </row>
    <row r="17" spans="1:13" x14ac:dyDescent="0.35">
      <c r="A17" t="s">
        <v>129</v>
      </c>
      <c r="B17" t="s">
        <v>54</v>
      </c>
      <c r="C17">
        <v>3</v>
      </c>
      <c r="D17" t="s">
        <v>146</v>
      </c>
      <c r="E17">
        <v>2500000</v>
      </c>
      <c r="F17">
        <v>125000</v>
      </c>
      <c r="G17" s="1">
        <v>43800</v>
      </c>
      <c r="H17" t="s">
        <v>11</v>
      </c>
      <c r="I17" t="s">
        <v>30</v>
      </c>
      <c r="J17" t="s">
        <v>12</v>
      </c>
      <c r="K17" t="s">
        <v>13</v>
      </c>
      <c r="L17" t="s">
        <v>14</v>
      </c>
      <c r="M17" t="s">
        <v>15</v>
      </c>
    </row>
    <row r="18" spans="1:13" x14ac:dyDescent="0.35">
      <c r="A18" t="s">
        <v>109</v>
      </c>
      <c r="B18" t="s">
        <v>33</v>
      </c>
      <c r="C18">
        <v>1</v>
      </c>
      <c r="D18" t="s">
        <v>148</v>
      </c>
      <c r="E18">
        <v>0</v>
      </c>
      <c r="F18">
        <v>100000</v>
      </c>
      <c r="G18" s="1">
        <v>44012</v>
      </c>
      <c r="H18" t="s">
        <v>11</v>
      </c>
      <c r="I18" t="s">
        <v>30</v>
      </c>
      <c r="J18" t="s">
        <v>24</v>
      </c>
      <c r="K18" t="s">
        <v>24</v>
      </c>
      <c r="L18" t="s">
        <v>34</v>
      </c>
      <c r="M18" t="s">
        <v>35</v>
      </c>
    </row>
    <row r="19" spans="1:13" hidden="1" x14ac:dyDescent="0.35">
      <c r="A19" t="s">
        <v>141</v>
      </c>
      <c r="B19" t="s">
        <v>60</v>
      </c>
      <c r="C19">
        <v>3</v>
      </c>
      <c r="D19" t="s">
        <v>146</v>
      </c>
      <c r="E19">
        <v>9500000</v>
      </c>
      <c r="F19">
        <v>200000</v>
      </c>
      <c r="G19" s="1">
        <v>43738</v>
      </c>
      <c r="H19" t="s">
        <v>27</v>
      </c>
      <c r="I19" t="s">
        <v>30</v>
      </c>
      <c r="J19" t="s">
        <v>12</v>
      </c>
      <c r="K19" t="s">
        <v>13</v>
      </c>
      <c r="L19" t="s">
        <v>14</v>
      </c>
      <c r="M19" t="s">
        <v>15</v>
      </c>
    </row>
    <row r="20" spans="1:13" x14ac:dyDescent="0.35">
      <c r="A20" t="s">
        <v>125</v>
      </c>
      <c r="B20" t="s">
        <v>36</v>
      </c>
      <c r="C20">
        <v>1</v>
      </c>
      <c r="D20" t="s">
        <v>148</v>
      </c>
      <c r="E20">
        <v>0</v>
      </c>
      <c r="F20">
        <v>100000</v>
      </c>
      <c r="G20" s="1">
        <v>43921</v>
      </c>
      <c r="H20" t="s">
        <v>11</v>
      </c>
      <c r="I20" t="s">
        <v>30</v>
      </c>
      <c r="J20" t="s">
        <v>24</v>
      </c>
      <c r="K20" t="s">
        <v>24</v>
      </c>
      <c r="L20" t="s">
        <v>34</v>
      </c>
      <c r="M20" t="s">
        <v>35</v>
      </c>
    </row>
    <row r="21" spans="1:13" x14ac:dyDescent="0.35">
      <c r="A21" t="s">
        <v>132</v>
      </c>
      <c r="B21" t="s">
        <v>37</v>
      </c>
      <c r="C21">
        <v>1</v>
      </c>
      <c r="D21" t="s">
        <v>148</v>
      </c>
      <c r="E21">
        <v>1200000</v>
      </c>
      <c r="F21">
        <v>100000</v>
      </c>
      <c r="G21" s="1">
        <v>43921</v>
      </c>
      <c r="H21" t="s">
        <v>11</v>
      </c>
      <c r="I21" t="s">
        <v>30</v>
      </c>
      <c r="J21" t="s">
        <v>38</v>
      </c>
      <c r="K21" t="s">
        <v>26</v>
      </c>
      <c r="L21" t="s">
        <v>26</v>
      </c>
      <c r="M21" t="s">
        <v>39</v>
      </c>
    </row>
    <row r="22" spans="1:13" x14ac:dyDescent="0.35">
      <c r="A22" t="s">
        <v>133</v>
      </c>
      <c r="B22" t="s">
        <v>40</v>
      </c>
      <c r="C22">
        <v>1</v>
      </c>
      <c r="D22" t="s">
        <v>148</v>
      </c>
      <c r="E22">
        <v>0</v>
      </c>
      <c r="F22">
        <v>100000</v>
      </c>
      <c r="G22" s="1">
        <v>43982</v>
      </c>
      <c r="H22" t="s">
        <v>11</v>
      </c>
      <c r="I22" t="s">
        <v>30</v>
      </c>
      <c r="J22" t="s">
        <v>20</v>
      </c>
      <c r="K22" t="s">
        <v>20</v>
      </c>
      <c r="L22" t="s">
        <v>21</v>
      </c>
      <c r="M22" t="s">
        <v>23</v>
      </c>
    </row>
    <row r="23" spans="1:13" x14ac:dyDescent="0.35">
      <c r="A23" t="s">
        <v>134</v>
      </c>
      <c r="B23" t="s">
        <v>41</v>
      </c>
      <c r="C23">
        <v>1</v>
      </c>
      <c r="D23" t="s">
        <v>148</v>
      </c>
      <c r="E23">
        <v>0</v>
      </c>
      <c r="F23">
        <v>100000</v>
      </c>
      <c r="G23" s="1">
        <v>43982</v>
      </c>
      <c r="H23" t="s">
        <v>11</v>
      </c>
      <c r="I23" t="s">
        <v>30</v>
      </c>
      <c r="J23" t="s">
        <v>24</v>
      </c>
      <c r="K23" t="s">
        <v>24</v>
      </c>
      <c r="L23" t="s">
        <v>34</v>
      </c>
      <c r="M23" t="s">
        <v>35</v>
      </c>
    </row>
    <row r="24" spans="1:13" x14ac:dyDescent="0.35">
      <c r="A24" t="s">
        <v>43</v>
      </c>
      <c r="B24" t="s">
        <v>44</v>
      </c>
      <c r="C24">
        <v>1</v>
      </c>
      <c r="D24" t="s">
        <v>148</v>
      </c>
      <c r="E24">
        <v>0</v>
      </c>
      <c r="F24">
        <v>100000</v>
      </c>
      <c r="G24" s="1">
        <v>43921</v>
      </c>
      <c r="H24" t="s">
        <v>11</v>
      </c>
      <c r="I24" t="s">
        <v>30</v>
      </c>
      <c r="J24" t="s">
        <v>24</v>
      </c>
      <c r="K24" t="s">
        <v>24</v>
      </c>
      <c r="L24" t="s">
        <v>34</v>
      </c>
      <c r="M24" t="s">
        <v>35</v>
      </c>
    </row>
    <row r="25" spans="1:13" hidden="1" x14ac:dyDescent="0.35">
      <c r="A25" t="s">
        <v>123</v>
      </c>
      <c r="B25" t="s">
        <v>68</v>
      </c>
      <c r="C25">
        <v>10</v>
      </c>
      <c r="D25" t="s">
        <v>145</v>
      </c>
      <c r="E25">
        <v>300000</v>
      </c>
      <c r="F25">
        <v>49500</v>
      </c>
      <c r="G25" s="1">
        <v>43738</v>
      </c>
      <c r="H25" t="s">
        <v>27</v>
      </c>
      <c r="I25" t="s">
        <v>30</v>
      </c>
      <c r="J25" t="s">
        <v>20</v>
      </c>
      <c r="K25" t="s">
        <v>20</v>
      </c>
      <c r="L25" t="s">
        <v>21</v>
      </c>
      <c r="M25" t="s">
        <v>23</v>
      </c>
    </row>
    <row r="26" spans="1:13" hidden="1" x14ac:dyDescent="0.35">
      <c r="A26" t="s">
        <v>124</v>
      </c>
      <c r="B26" t="s">
        <v>69</v>
      </c>
      <c r="C26">
        <v>10</v>
      </c>
      <c r="D26" t="s">
        <v>145</v>
      </c>
      <c r="E26">
        <v>300000</v>
      </c>
      <c r="F26">
        <v>49500</v>
      </c>
      <c r="G26" s="1">
        <v>43738</v>
      </c>
      <c r="H26" t="s">
        <v>27</v>
      </c>
      <c r="I26" t="s">
        <v>30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35">
      <c r="A27" t="s">
        <v>118</v>
      </c>
      <c r="B27" t="s">
        <v>58</v>
      </c>
      <c r="C27">
        <v>10</v>
      </c>
      <c r="D27" t="s">
        <v>145</v>
      </c>
      <c r="E27">
        <v>1400000</v>
      </c>
      <c r="F27">
        <v>100000</v>
      </c>
      <c r="G27" s="1">
        <v>43808</v>
      </c>
      <c r="H27" t="s">
        <v>11</v>
      </c>
      <c r="I27" t="s">
        <v>30</v>
      </c>
      <c r="J27" t="s">
        <v>12</v>
      </c>
      <c r="K27" t="s">
        <v>13</v>
      </c>
      <c r="L27" t="s">
        <v>14</v>
      </c>
      <c r="M27" t="s">
        <v>15</v>
      </c>
    </row>
    <row r="28" spans="1:13" hidden="1" x14ac:dyDescent="0.35">
      <c r="A28" t="s">
        <v>24</v>
      </c>
      <c r="B28" t="s">
        <v>71</v>
      </c>
      <c r="C28">
        <v>3</v>
      </c>
      <c r="D28" t="s">
        <v>146</v>
      </c>
      <c r="E28">
        <v>0</v>
      </c>
      <c r="F28">
        <v>100000</v>
      </c>
      <c r="G28" s="1">
        <v>43769</v>
      </c>
      <c r="H28" t="s">
        <v>27</v>
      </c>
      <c r="I28" t="s">
        <v>30</v>
      </c>
      <c r="J28" t="s">
        <v>24</v>
      </c>
      <c r="K28" t="s">
        <v>24</v>
      </c>
      <c r="L28" t="s">
        <v>25</v>
      </c>
      <c r="M28" t="s">
        <v>50</v>
      </c>
    </row>
    <row r="29" spans="1:13" x14ac:dyDescent="0.35">
      <c r="A29" t="s">
        <v>142</v>
      </c>
      <c r="B29" t="s">
        <v>63</v>
      </c>
      <c r="C29">
        <v>3</v>
      </c>
      <c r="D29" t="s">
        <v>146</v>
      </c>
      <c r="E29">
        <v>0</v>
      </c>
      <c r="F29">
        <v>100000</v>
      </c>
      <c r="G29" s="1">
        <v>43784</v>
      </c>
      <c r="H29" t="s">
        <v>11</v>
      </c>
      <c r="I29" t="s">
        <v>30</v>
      </c>
      <c r="J29" t="s">
        <v>12</v>
      </c>
      <c r="K29" t="s">
        <v>13</v>
      </c>
      <c r="L29" t="s">
        <v>14</v>
      </c>
      <c r="M29" t="s">
        <v>15</v>
      </c>
    </row>
    <row r="30" spans="1:13" x14ac:dyDescent="0.35">
      <c r="A30" t="s">
        <v>106</v>
      </c>
      <c r="B30" t="s">
        <v>65</v>
      </c>
      <c r="C30">
        <v>10</v>
      </c>
      <c r="D30" t="s">
        <v>145</v>
      </c>
      <c r="E30">
        <v>600000</v>
      </c>
      <c r="F30">
        <v>100000</v>
      </c>
      <c r="G30" s="1">
        <v>43799</v>
      </c>
      <c r="H30" t="s">
        <v>11</v>
      </c>
      <c r="I30" t="s">
        <v>30</v>
      </c>
      <c r="J30" t="s">
        <v>28</v>
      </c>
      <c r="K30" t="s">
        <v>13</v>
      </c>
      <c r="L30" t="s">
        <v>14</v>
      </c>
      <c r="M30" t="s">
        <v>15</v>
      </c>
    </row>
    <row r="31" spans="1:13" x14ac:dyDescent="0.35">
      <c r="A31" t="s">
        <v>103</v>
      </c>
      <c r="B31" t="s">
        <v>84</v>
      </c>
      <c r="C31">
        <v>6</v>
      </c>
      <c r="D31" t="s">
        <v>149</v>
      </c>
      <c r="E31">
        <v>1000000</v>
      </c>
      <c r="F31">
        <v>100000</v>
      </c>
      <c r="G31" s="1">
        <v>44043</v>
      </c>
      <c r="H31" t="s">
        <v>11</v>
      </c>
      <c r="I31" t="s">
        <v>30</v>
      </c>
      <c r="J31" t="s">
        <v>17</v>
      </c>
      <c r="K31" t="s">
        <v>18</v>
      </c>
      <c r="L31" t="s">
        <v>19</v>
      </c>
      <c r="M31" t="s">
        <v>77</v>
      </c>
    </row>
    <row r="32" spans="1:13" x14ac:dyDescent="0.35">
      <c r="A32" t="s">
        <v>122</v>
      </c>
      <c r="B32" t="s">
        <v>92</v>
      </c>
      <c r="C32">
        <v>12</v>
      </c>
      <c r="D32" t="s">
        <v>144</v>
      </c>
      <c r="E32">
        <v>1000000</v>
      </c>
      <c r="F32">
        <v>100000</v>
      </c>
      <c r="G32" s="1">
        <v>43738</v>
      </c>
      <c r="H32" t="s">
        <v>11</v>
      </c>
      <c r="I32" t="s">
        <v>30</v>
      </c>
      <c r="J32" t="s">
        <v>80</v>
      </c>
      <c r="K32" t="s">
        <v>49</v>
      </c>
      <c r="L32" t="s">
        <v>49</v>
      </c>
      <c r="M32" t="s">
        <v>55</v>
      </c>
    </row>
    <row r="33" spans="1:13" x14ac:dyDescent="0.35">
      <c r="A33" t="s">
        <v>61</v>
      </c>
      <c r="B33" t="s">
        <v>96</v>
      </c>
      <c r="C33">
        <v>3</v>
      </c>
      <c r="D33" t="s">
        <v>146</v>
      </c>
      <c r="E33">
        <v>700000</v>
      </c>
      <c r="F33">
        <v>100000</v>
      </c>
      <c r="G33" s="1">
        <v>43830</v>
      </c>
      <c r="H33" t="s">
        <v>11</v>
      </c>
      <c r="I33" t="s">
        <v>30</v>
      </c>
      <c r="J33" t="s">
        <v>17</v>
      </c>
      <c r="K33" t="s">
        <v>18</v>
      </c>
      <c r="L33" t="s">
        <v>19</v>
      </c>
      <c r="M33" t="s">
        <v>77</v>
      </c>
    </row>
    <row r="34" spans="1:13" x14ac:dyDescent="0.35">
      <c r="A34" t="s">
        <v>131</v>
      </c>
      <c r="B34" t="s">
        <v>99</v>
      </c>
      <c r="C34">
        <v>12</v>
      </c>
      <c r="D34" t="s">
        <v>144</v>
      </c>
      <c r="E34">
        <v>1000000</v>
      </c>
      <c r="F34">
        <v>100000</v>
      </c>
      <c r="G34" s="1">
        <v>43830</v>
      </c>
      <c r="H34" t="s">
        <v>11</v>
      </c>
      <c r="I34" t="s">
        <v>30</v>
      </c>
      <c r="J34" t="s">
        <v>17</v>
      </c>
      <c r="K34" t="s">
        <v>18</v>
      </c>
      <c r="L34" t="s">
        <v>19</v>
      </c>
      <c r="M34" t="s">
        <v>77</v>
      </c>
    </row>
    <row r="35" spans="1:13" x14ac:dyDescent="0.35">
      <c r="A35" t="s">
        <v>126</v>
      </c>
      <c r="B35" t="s">
        <v>46</v>
      </c>
      <c r="C35">
        <v>12</v>
      </c>
      <c r="D35" t="s">
        <v>144</v>
      </c>
      <c r="E35">
        <v>0</v>
      </c>
      <c r="F35">
        <v>75000</v>
      </c>
      <c r="G35" s="1">
        <v>43921</v>
      </c>
      <c r="H35" t="s">
        <v>11</v>
      </c>
      <c r="I35" t="s">
        <v>30</v>
      </c>
      <c r="J35" t="s">
        <v>12</v>
      </c>
      <c r="K35" t="s">
        <v>13</v>
      </c>
      <c r="L35" t="s">
        <v>14</v>
      </c>
      <c r="M35" t="s">
        <v>15</v>
      </c>
    </row>
    <row r="36" spans="1:13" x14ac:dyDescent="0.35">
      <c r="A36" t="s">
        <v>116</v>
      </c>
      <c r="B36" t="s">
        <v>52</v>
      </c>
      <c r="C36">
        <v>12</v>
      </c>
      <c r="D36" t="s">
        <v>144</v>
      </c>
      <c r="E36">
        <v>500000</v>
      </c>
      <c r="F36">
        <v>75000</v>
      </c>
      <c r="G36" s="1">
        <v>43982</v>
      </c>
      <c r="H36" t="s">
        <v>11</v>
      </c>
      <c r="I36" t="s">
        <v>30</v>
      </c>
      <c r="J36" t="s">
        <v>20</v>
      </c>
      <c r="K36" t="s">
        <v>20</v>
      </c>
      <c r="L36" t="s">
        <v>21</v>
      </c>
      <c r="M36" t="s">
        <v>51</v>
      </c>
    </row>
    <row r="37" spans="1:13" x14ac:dyDescent="0.35">
      <c r="A37" t="s">
        <v>137</v>
      </c>
      <c r="B37" t="s">
        <v>93</v>
      </c>
      <c r="C37">
        <v>10</v>
      </c>
      <c r="D37" t="s">
        <v>145</v>
      </c>
      <c r="E37">
        <v>500000</v>
      </c>
      <c r="F37">
        <v>62000</v>
      </c>
      <c r="G37" s="1">
        <v>43738</v>
      </c>
      <c r="H37" t="s">
        <v>11</v>
      </c>
      <c r="I37" t="s">
        <v>30</v>
      </c>
      <c r="J37" t="s">
        <v>80</v>
      </c>
      <c r="K37" t="s">
        <v>49</v>
      </c>
      <c r="L37" t="s">
        <v>49</v>
      </c>
      <c r="M37" t="s">
        <v>55</v>
      </c>
    </row>
    <row r="38" spans="1:13" x14ac:dyDescent="0.35">
      <c r="A38" t="s">
        <v>108</v>
      </c>
      <c r="B38" t="s">
        <v>78</v>
      </c>
      <c r="C38">
        <v>6</v>
      </c>
      <c r="D38" t="s">
        <v>149</v>
      </c>
      <c r="E38">
        <v>0</v>
      </c>
      <c r="F38">
        <v>50000</v>
      </c>
      <c r="G38" s="1">
        <v>43921</v>
      </c>
      <c r="H38" t="s">
        <v>11</v>
      </c>
      <c r="I38" t="s">
        <v>30</v>
      </c>
      <c r="J38" t="s">
        <v>17</v>
      </c>
      <c r="K38" t="s">
        <v>18</v>
      </c>
      <c r="L38" t="s">
        <v>19</v>
      </c>
      <c r="M38" t="s">
        <v>77</v>
      </c>
    </row>
    <row r="39" spans="1:13" x14ac:dyDescent="0.35">
      <c r="A39" t="s">
        <v>139</v>
      </c>
      <c r="B39" t="s">
        <v>83</v>
      </c>
      <c r="C39">
        <v>6</v>
      </c>
      <c r="D39" t="s">
        <v>149</v>
      </c>
      <c r="E39">
        <v>300000</v>
      </c>
      <c r="F39">
        <v>50000</v>
      </c>
      <c r="G39" s="1">
        <v>43921</v>
      </c>
      <c r="H39" t="s">
        <v>11</v>
      </c>
      <c r="I39" t="s">
        <v>30</v>
      </c>
      <c r="J39" t="s">
        <v>17</v>
      </c>
      <c r="K39" t="s">
        <v>18</v>
      </c>
      <c r="L39" t="s">
        <v>19</v>
      </c>
      <c r="M39" t="s">
        <v>77</v>
      </c>
    </row>
    <row r="40" spans="1:13" x14ac:dyDescent="0.35">
      <c r="A40" t="s">
        <v>128</v>
      </c>
      <c r="B40" t="s">
        <v>91</v>
      </c>
      <c r="C40">
        <v>12</v>
      </c>
      <c r="D40" t="s">
        <v>144</v>
      </c>
      <c r="E40">
        <v>500000</v>
      </c>
      <c r="F40">
        <v>50000</v>
      </c>
      <c r="G40" s="1">
        <v>43830</v>
      </c>
      <c r="H40" t="s">
        <v>11</v>
      </c>
      <c r="I40" t="s">
        <v>30</v>
      </c>
      <c r="J40" t="s">
        <v>80</v>
      </c>
      <c r="K40" t="s">
        <v>49</v>
      </c>
      <c r="L40" t="s">
        <v>49</v>
      </c>
      <c r="M40" t="s">
        <v>55</v>
      </c>
    </row>
    <row r="41" spans="1:13" x14ac:dyDescent="0.35">
      <c r="A41" t="s">
        <v>136</v>
      </c>
      <c r="B41" t="s">
        <v>97</v>
      </c>
      <c r="C41">
        <v>10</v>
      </c>
      <c r="D41" t="s">
        <v>145</v>
      </c>
      <c r="E41">
        <v>800000</v>
      </c>
      <c r="F41">
        <v>50000</v>
      </c>
      <c r="G41" s="1">
        <v>43738</v>
      </c>
      <c r="H41" t="s">
        <v>11</v>
      </c>
      <c r="I41" t="s">
        <v>30</v>
      </c>
      <c r="J41" t="s">
        <v>80</v>
      </c>
      <c r="K41" t="s">
        <v>49</v>
      </c>
      <c r="L41" t="s">
        <v>49</v>
      </c>
      <c r="M41" t="s">
        <v>55</v>
      </c>
    </row>
    <row r="42" spans="1:13" x14ac:dyDescent="0.35">
      <c r="A42" t="s">
        <v>100</v>
      </c>
      <c r="B42" t="s">
        <v>101</v>
      </c>
      <c r="C42">
        <v>3</v>
      </c>
      <c r="D42" t="s">
        <v>146</v>
      </c>
      <c r="E42">
        <v>0</v>
      </c>
      <c r="F42">
        <v>50000</v>
      </c>
      <c r="G42" s="1">
        <v>43738</v>
      </c>
      <c r="H42" t="s">
        <v>16</v>
      </c>
      <c r="I42" t="s">
        <v>30</v>
      </c>
      <c r="J42" t="s">
        <v>17</v>
      </c>
      <c r="K42" t="s">
        <v>18</v>
      </c>
      <c r="L42" t="s">
        <v>19</v>
      </c>
      <c r="M42" t="s">
        <v>77</v>
      </c>
    </row>
    <row r="43" spans="1:13" x14ac:dyDescent="0.35">
      <c r="A43" t="s">
        <v>140</v>
      </c>
      <c r="B43" t="s">
        <v>102</v>
      </c>
      <c r="C43">
        <v>12</v>
      </c>
      <c r="D43" t="s">
        <v>144</v>
      </c>
      <c r="E43">
        <v>0</v>
      </c>
      <c r="F43">
        <v>50000</v>
      </c>
      <c r="G43" s="1">
        <v>43921</v>
      </c>
      <c r="H43" t="s">
        <v>11</v>
      </c>
      <c r="I43" t="s">
        <v>30</v>
      </c>
      <c r="J43" t="s">
        <v>20</v>
      </c>
      <c r="K43" t="s">
        <v>20</v>
      </c>
      <c r="L43" t="s">
        <v>21</v>
      </c>
      <c r="M43" t="s">
        <v>72</v>
      </c>
    </row>
    <row r="44" spans="1:13" x14ac:dyDescent="0.35">
      <c r="A44" t="s">
        <v>94</v>
      </c>
      <c r="B44" t="s">
        <v>95</v>
      </c>
      <c r="C44">
        <v>10</v>
      </c>
      <c r="D44" t="s">
        <v>145</v>
      </c>
      <c r="E44">
        <v>300000</v>
      </c>
      <c r="F44">
        <v>37500</v>
      </c>
      <c r="G44" s="1">
        <v>43738</v>
      </c>
      <c r="H44" t="s">
        <v>11</v>
      </c>
      <c r="I44" t="s">
        <v>30</v>
      </c>
      <c r="J44" t="s">
        <v>80</v>
      </c>
      <c r="K44" t="s">
        <v>49</v>
      </c>
      <c r="L44" t="s">
        <v>49</v>
      </c>
      <c r="M44" t="s">
        <v>55</v>
      </c>
    </row>
    <row r="45" spans="1:13" x14ac:dyDescent="0.35">
      <c r="A45" t="s">
        <v>107</v>
      </c>
      <c r="B45" t="s">
        <v>66</v>
      </c>
      <c r="C45">
        <v>10</v>
      </c>
      <c r="D45" t="s">
        <v>145</v>
      </c>
      <c r="E45">
        <v>210000</v>
      </c>
      <c r="F45">
        <v>35000</v>
      </c>
      <c r="G45" s="1">
        <v>43799</v>
      </c>
      <c r="H45" t="s">
        <v>11</v>
      </c>
      <c r="I45" t="s">
        <v>30</v>
      </c>
      <c r="J45" t="s">
        <v>28</v>
      </c>
      <c r="K45" t="s">
        <v>13</v>
      </c>
      <c r="L45" t="s">
        <v>14</v>
      </c>
      <c r="M45" t="s">
        <v>32</v>
      </c>
    </row>
    <row r="46" spans="1:13" x14ac:dyDescent="0.35">
      <c r="A46" t="s">
        <v>104</v>
      </c>
      <c r="B46" t="s">
        <v>31</v>
      </c>
      <c r="C46">
        <v>1</v>
      </c>
      <c r="D46" t="s">
        <v>148</v>
      </c>
      <c r="E46">
        <v>200000</v>
      </c>
      <c r="F46">
        <v>30000</v>
      </c>
      <c r="G46" s="1">
        <v>43921</v>
      </c>
      <c r="H46" t="s">
        <v>11</v>
      </c>
      <c r="I46" t="s">
        <v>30</v>
      </c>
      <c r="J46" t="s">
        <v>12</v>
      </c>
      <c r="K46" t="s">
        <v>13</v>
      </c>
      <c r="L46" t="s">
        <v>14</v>
      </c>
      <c r="M46" t="s">
        <v>32</v>
      </c>
    </row>
    <row r="47" spans="1:13" hidden="1" x14ac:dyDescent="0.35">
      <c r="A47" t="s">
        <v>18</v>
      </c>
      <c r="B47" t="s">
        <v>98</v>
      </c>
      <c r="C47">
        <v>3</v>
      </c>
      <c r="D47" t="s">
        <v>146</v>
      </c>
      <c r="E47">
        <v>0</v>
      </c>
      <c r="F47">
        <v>500000</v>
      </c>
      <c r="G47" s="1">
        <v>43739</v>
      </c>
      <c r="H47" t="s">
        <v>27</v>
      </c>
      <c r="I47" t="s">
        <v>30</v>
      </c>
      <c r="J47" t="s">
        <v>17</v>
      </c>
      <c r="K47" t="s">
        <v>18</v>
      </c>
      <c r="L47" t="s">
        <v>19</v>
      </c>
      <c r="M47" t="s">
        <v>77</v>
      </c>
    </row>
    <row r="48" spans="1:13" x14ac:dyDescent="0.35">
      <c r="A48" t="s">
        <v>113</v>
      </c>
      <c r="B48" t="s">
        <v>79</v>
      </c>
      <c r="C48">
        <v>6</v>
      </c>
      <c r="D48" t="s">
        <v>149</v>
      </c>
      <c r="E48">
        <v>300000</v>
      </c>
      <c r="F48">
        <v>30000</v>
      </c>
      <c r="G48" s="1">
        <v>43921</v>
      </c>
      <c r="H48" t="s">
        <v>11</v>
      </c>
      <c r="I48" t="s">
        <v>30</v>
      </c>
      <c r="J48" t="s">
        <v>80</v>
      </c>
      <c r="K48" t="s">
        <v>49</v>
      </c>
      <c r="L48" t="s">
        <v>49</v>
      </c>
      <c r="M48" t="s">
        <v>55</v>
      </c>
    </row>
    <row r="49" spans="1:13" x14ac:dyDescent="0.35">
      <c r="A49" t="s">
        <v>127</v>
      </c>
      <c r="B49" t="s">
        <v>47</v>
      </c>
      <c r="C49">
        <v>12</v>
      </c>
      <c r="D49" t="s">
        <v>144</v>
      </c>
      <c r="E49">
        <v>0</v>
      </c>
      <c r="F49">
        <v>25000</v>
      </c>
      <c r="G49" s="1">
        <v>43921</v>
      </c>
      <c r="H49" t="s">
        <v>11</v>
      </c>
      <c r="I49" t="s">
        <v>30</v>
      </c>
      <c r="J49" t="s">
        <v>12</v>
      </c>
      <c r="K49" t="s">
        <v>13</v>
      </c>
      <c r="L49" t="s">
        <v>14</v>
      </c>
      <c r="M49" t="s">
        <v>32</v>
      </c>
    </row>
    <row r="50" spans="1:13" x14ac:dyDescent="0.35">
      <c r="A50" t="s">
        <v>75</v>
      </c>
      <c r="B50" t="s">
        <v>76</v>
      </c>
      <c r="C50">
        <v>3</v>
      </c>
      <c r="D50" t="s">
        <v>146</v>
      </c>
      <c r="E50">
        <v>0</v>
      </c>
      <c r="F50">
        <v>10000</v>
      </c>
      <c r="G50" s="1">
        <v>43738</v>
      </c>
      <c r="H50" t="s">
        <v>16</v>
      </c>
      <c r="I50" t="s">
        <v>30</v>
      </c>
      <c r="J50" t="s">
        <v>24</v>
      </c>
      <c r="K50" t="s">
        <v>24</v>
      </c>
      <c r="L50" t="s">
        <v>25</v>
      </c>
      <c r="M50" t="s">
        <v>25</v>
      </c>
    </row>
  </sheetData>
  <autoFilter ref="A1:M50" xr:uid="{00000000-0009-0000-0000-000000000000}">
    <filterColumn colId="7">
      <filters>
        <filter val="Propose Solution"/>
        <filter val="Qualify Opportunity"/>
      </filters>
    </filterColumn>
    <sortState xmlns:xlrd2="http://schemas.microsoft.com/office/spreadsheetml/2017/richdata2" ref="A2:M50">
      <sortCondition descending="1" ref="F1:F5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CB1E-6FB3-4C80-A87B-E8B4078D3567}">
  <dimension ref="A1:M11"/>
  <sheetViews>
    <sheetView tabSelected="1" workbookViewId="0">
      <selection activeCell="E15" sqref="E15"/>
    </sheetView>
  </sheetViews>
  <sheetFormatPr defaultRowHeight="14.5" x14ac:dyDescent="0.35"/>
  <cols>
    <col min="1" max="1" width="26.36328125" bestFit="1" customWidth="1"/>
    <col min="2" max="2" width="14.26953125" bestFit="1" customWidth="1"/>
    <col min="3" max="3" width="13.08984375" bestFit="1" customWidth="1"/>
    <col min="4" max="4" width="15.90625" bestFit="1" customWidth="1"/>
    <col min="5" max="5" width="16.08984375" bestFit="1" customWidth="1"/>
    <col min="6" max="6" width="15.26953125" bestFit="1" customWidth="1"/>
    <col min="7" max="7" width="11.1796875" bestFit="1" customWidth="1"/>
    <col min="8" max="8" width="17.54296875" bestFit="1" customWidth="1"/>
    <col min="9" max="9" width="11" bestFit="1" customWidth="1"/>
    <col min="10" max="10" width="39" bestFit="1" customWidth="1"/>
    <col min="11" max="11" width="16.26953125" bestFit="1" customWidth="1"/>
    <col min="12" max="12" width="30.81640625" bestFit="1" customWidth="1"/>
    <col min="13" max="13" width="47.36328125" bestFit="1" customWidth="1"/>
  </cols>
  <sheetData>
    <row r="1" spans="1:13" x14ac:dyDescent="0.35">
      <c r="A1" t="s">
        <v>0</v>
      </c>
      <c r="B1" t="s">
        <v>1</v>
      </c>
      <c r="C1" t="s">
        <v>147</v>
      </c>
      <c r="D1" t="s">
        <v>143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119</v>
      </c>
      <c r="B2" t="s">
        <v>29</v>
      </c>
      <c r="C2">
        <v>3</v>
      </c>
      <c r="D2" t="s">
        <v>146</v>
      </c>
      <c r="E2">
        <v>8000000</v>
      </c>
      <c r="F2">
        <v>400000</v>
      </c>
      <c r="G2">
        <v>43782</v>
      </c>
      <c r="H2" t="s">
        <v>11</v>
      </c>
      <c r="I2" t="s">
        <v>30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35">
      <c r="A3" t="s">
        <v>114</v>
      </c>
      <c r="B3" t="s">
        <v>88</v>
      </c>
      <c r="C3">
        <v>6</v>
      </c>
      <c r="D3" t="s">
        <v>149</v>
      </c>
      <c r="E3">
        <v>0</v>
      </c>
      <c r="F3">
        <v>400000</v>
      </c>
      <c r="G3">
        <v>44012</v>
      </c>
      <c r="H3" t="s">
        <v>11</v>
      </c>
      <c r="I3" t="s">
        <v>30</v>
      </c>
      <c r="J3" t="s">
        <v>17</v>
      </c>
      <c r="K3" t="s">
        <v>18</v>
      </c>
      <c r="L3" t="s">
        <v>19</v>
      </c>
      <c r="M3" t="s">
        <v>77</v>
      </c>
    </row>
    <row r="4" spans="1:13" x14ac:dyDescent="0.35">
      <c r="A4" t="s">
        <v>112</v>
      </c>
      <c r="B4" t="s">
        <v>59</v>
      </c>
      <c r="C4">
        <v>10</v>
      </c>
      <c r="D4" t="s">
        <v>145</v>
      </c>
      <c r="E4">
        <v>4500000</v>
      </c>
      <c r="F4">
        <v>350000</v>
      </c>
      <c r="G4">
        <v>43810</v>
      </c>
      <c r="H4" t="s">
        <v>11</v>
      </c>
      <c r="I4" t="s">
        <v>30</v>
      </c>
      <c r="J4" t="s">
        <v>12</v>
      </c>
      <c r="K4" t="s">
        <v>26</v>
      </c>
      <c r="L4" t="s">
        <v>26</v>
      </c>
      <c r="M4" t="s">
        <v>15</v>
      </c>
    </row>
    <row r="5" spans="1:13" x14ac:dyDescent="0.35">
      <c r="A5" t="s">
        <v>120</v>
      </c>
      <c r="B5" t="s">
        <v>62</v>
      </c>
      <c r="C5">
        <v>10</v>
      </c>
      <c r="D5" t="s">
        <v>145</v>
      </c>
      <c r="E5">
        <v>4500000</v>
      </c>
      <c r="F5">
        <v>300000</v>
      </c>
      <c r="G5">
        <v>43767</v>
      </c>
      <c r="H5" t="s">
        <v>11</v>
      </c>
      <c r="I5" t="s">
        <v>30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5">
      <c r="A6" t="s">
        <v>117</v>
      </c>
      <c r="B6" t="s">
        <v>64</v>
      </c>
      <c r="C6">
        <v>3</v>
      </c>
      <c r="D6" t="s">
        <v>146</v>
      </c>
      <c r="E6">
        <v>6000000</v>
      </c>
      <c r="F6">
        <v>300000</v>
      </c>
      <c r="G6">
        <v>43800</v>
      </c>
      <c r="H6" t="s">
        <v>11</v>
      </c>
      <c r="I6" t="s">
        <v>30</v>
      </c>
      <c r="J6" t="s">
        <v>12</v>
      </c>
      <c r="K6" t="s">
        <v>13</v>
      </c>
      <c r="L6" t="s">
        <v>14</v>
      </c>
      <c r="M6" t="s">
        <v>15</v>
      </c>
    </row>
    <row r="7" spans="1:13" x14ac:dyDescent="0.35">
      <c r="A7" t="s">
        <v>105</v>
      </c>
      <c r="B7" t="s">
        <v>85</v>
      </c>
      <c r="C7">
        <v>6</v>
      </c>
      <c r="D7" t="s">
        <v>149</v>
      </c>
      <c r="E7">
        <v>0</v>
      </c>
      <c r="F7">
        <v>300000</v>
      </c>
      <c r="G7">
        <v>44012</v>
      </c>
      <c r="H7" t="s">
        <v>11</v>
      </c>
      <c r="I7" t="s">
        <v>30</v>
      </c>
      <c r="J7" t="s">
        <v>17</v>
      </c>
      <c r="K7" t="s">
        <v>18</v>
      </c>
      <c r="L7" t="s">
        <v>19</v>
      </c>
      <c r="M7" t="s">
        <v>77</v>
      </c>
    </row>
    <row r="8" spans="1:13" x14ac:dyDescent="0.35">
      <c r="A8" t="s">
        <v>115</v>
      </c>
      <c r="B8" t="s">
        <v>89</v>
      </c>
      <c r="C8">
        <v>12</v>
      </c>
      <c r="D8" t="s">
        <v>144</v>
      </c>
      <c r="E8">
        <v>0</v>
      </c>
      <c r="F8">
        <v>300000</v>
      </c>
      <c r="G8">
        <v>44012</v>
      </c>
      <c r="H8" t="s">
        <v>11</v>
      </c>
      <c r="I8" t="s">
        <v>30</v>
      </c>
      <c r="J8" t="s">
        <v>67</v>
      </c>
      <c r="K8" t="s">
        <v>56</v>
      </c>
      <c r="L8" t="s">
        <v>57</v>
      </c>
      <c r="M8" t="s">
        <v>90</v>
      </c>
    </row>
    <row r="9" spans="1:13" x14ac:dyDescent="0.35">
      <c r="A9" t="s">
        <v>130</v>
      </c>
      <c r="B9" t="s">
        <v>70</v>
      </c>
      <c r="C9">
        <v>10</v>
      </c>
      <c r="D9" t="s">
        <v>145</v>
      </c>
      <c r="E9">
        <v>5000000</v>
      </c>
      <c r="F9">
        <v>250000</v>
      </c>
      <c r="G9">
        <v>43799</v>
      </c>
      <c r="H9" t="s">
        <v>11</v>
      </c>
      <c r="I9" t="s">
        <v>30</v>
      </c>
      <c r="J9" t="s">
        <v>12</v>
      </c>
      <c r="K9" t="s">
        <v>13</v>
      </c>
      <c r="L9" t="s">
        <v>14</v>
      </c>
      <c r="M9" t="s">
        <v>15</v>
      </c>
    </row>
    <row r="10" spans="1:13" x14ac:dyDescent="0.35">
      <c r="A10" t="s">
        <v>138</v>
      </c>
      <c r="B10" t="s">
        <v>45</v>
      </c>
      <c r="C10">
        <v>12</v>
      </c>
      <c r="D10" t="s">
        <v>144</v>
      </c>
      <c r="E10">
        <v>0</v>
      </c>
      <c r="F10">
        <v>200000</v>
      </c>
      <c r="G10">
        <v>43921</v>
      </c>
      <c r="H10" t="s">
        <v>11</v>
      </c>
      <c r="I10" t="s">
        <v>30</v>
      </c>
      <c r="J10" t="s">
        <v>24</v>
      </c>
      <c r="K10" t="s">
        <v>24</v>
      </c>
      <c r="L10" t="s">
        <v>34</v>
      </c>
      <c r="M10" t="s">
        <v>35</v>
      </c>
    </row>
    <row r="11" spans="1:13" x14ac:dyDescent="0.35">
      <c r="A11" t="s">
        <v>73</v>
      </c>
      <c r="B11" t="s">
        <v>74</v>
      </c>
      <c r="C11">
        <v>12</v>
      </c>
      <c r="D11" t="s">
        <v>144</v>
      </c>
      <c r="E11">
        <v>90000000</v>
      </c>
      <c r="F11">
        <v>200000</v>
      </c>
      <c r="G11">
        <v>44074</v>
      </c>
      <c r="H11" t="s">
        <v>11</v>
      </c>
      <c r="I11" t="s">
        <v>30</v>
      </c>
      <c r="J11" t="s">
        <v>17</v>
      </c>
      <c r="K11" t="s">
        <v>18</v>
      </c>
      <c r="L11" t="s">
        <v>19</v>
      </c>
      <c r="M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gcrm_opportunity_202001231041</vt:lpstr>
      <vt:lpstr>Top Open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umya rawool</cp:lastModifiedBy>
  <dcterms:created xsi:type="dcterms:W3CDTF">2020-02-11T13:12:21Z</dcterms:created>
  <dcterms:modified xsi:type="dcterms:W3CDTF">2026-01-10T14:30:59Z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2023-12-18T09:13:01Z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02aff476-a542-4e8b-8077-43772d65f073</vt:lpwstr>
  </property>
  <property fmtid="{D5CDD505-2E9C-101B-9397-08002B2CF9AE}" pid="8" name="MSIP_Label_defa4170-0d19-0005-0004-bc88714345d2_ContentBits">
    <vt:lpwstr>0</vt:lpwstr>
  </property>
</Properties>
</file>